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integrador\filo-estilo\docs\"/>
    </mc:Choice>
  </mc:AlternateContent>
  <xr:revisionPtr revIDLastSave="0" documentId="13_ncr:1_{8A8DEB98-8CB3-4B2B-9666-0E89D3EC58C6}" xr6:coauthVersionLast="47" xr6:coauthVersionMax="47" xr10:uidLastSave="{00000000-0000-0000-0000-000000000000}"/>
  <bookViews>
    <workbookView xWindow="-108" yWindow="-108" windowWidth="23256" windowHeight="12456" activeTab="3" xr2:uid="{769063DE-5703-4EA6-B51C-0C7B2F7A1DCE}"/>
  </bookViews>
  <sheets>
    <sheet name="Supuestos" sheetId="4" r:id="rId1"/>
    <sheet name="Correos" sheetId="1" r:id="rId2"/>
    <sheet name="S3" sheetId="3" r:id="rId3"/>
    <sheet name="Dat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2" l="1"/>
  <c r="F64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32" i="2"/>
  <c r="F31" i="2"/>
  <c r="F65" i="2" l="1"/>
  <c r="F66" i="2" s="1"/>
  <c r="F67" i="2" s="1"/>
  <c r="F68" i="2" s="1"/>
  <c r="F69" i="2" l="1"/>
  <c r="F70" i="2" s="1"/>
</calcChain>
</file>

<file path=xl/sharedStrings.xml><?xml version="1.0" encoding="utf-8"?>
<sst xmlns="http://schemas.openxmlformats.org/spreadsheetml/2006/main" count="231" uniqueCount="198">
  <si>
    <t>Componente</t>
  </si>
  <si>
    <t>Cantidad x Mes</t>
  </si>
  <si>
    <t>Cantidad x Año</t>
  </si>
  <si>
    <t>Correos</t>
  </si>
  <si>
    <t>Peso MB Unid</t>
  </si>
  <si>
    <t>Peso KB Unid</t>
  </si>
  <si>
    <t>Peso Mes MB</t>
  </si>
  <si>
    <t>Peso Mes GB</t>
  </si>
  <si>
    <t>Peso Año MB</t>
  </si>
  <si>
    <t>Peso Año GB</t>
  </si>
  <si>
    <t>Total</t>
  </si>
  <si>
    <t>Solicitudes</t>
  </si>
  <si>
    <t>Peso KB Mes</t>
  </si>
  <si>
    <t>Peso GB Mes</t>
  </si>
  <si>
    <t>Peso MB Mes</t>
  </si>
  <si>
    <t>Peso GB Mes Redondeado</t>
  </si>
  <si>
    <t>Peso GB Año Redondeado</t>
  </si>
  <si>
    <t>Usuarios: Cantidad de Usuarios</t>
  </si>
  <si>
    <t>Frecuencia de mandado de Solicitudes por Servicio</t>
  </si>
  <si>
    <t>Concurrecia de grabacion en la Base de Datos</t>
  </si>
  <si>
    <t>Concurrecia de lectura en la Base de Datos</t>
  </si>
  <si>
    <t>Infraestructura: Mapa de Arquitectura</t>
  </si>
  <si>
    <t>Cantidad</t>
  </si>
  <si>
    <t>Recomendado</t>
  </si>
  <si>
    <t>Hits: Servicios de Registro (Principal), identificar cuantas tablas compromete.</t>
  </si>
  <si>
    <t>coberturas</t>
  </si>
  <si>
    <t>criterios_derivacion</t>
  </si>
  <si>
    <t>datos_documentos</t>
  </si>
  <si>
    <t>datos_observacion</t>
  </si>
  <si>
    <t>datos_reglas_negocio</t>
  </si>
  <si>
    <t>detalle_medicamentos</t>
  </si>
  <si>
    <t>detalle_observacion</t>
  </si>
  <si>
    <t>detalle_procedimiento</t>
  </si>
  <si>
    <t>detalle_sesiones_qt</t>
  </si>
  <si>
    <t>detalles_presupuestos</t>
  </si>
  <si>
    <t>diagnosticos</t>
  </si>
  <si>
    <t>#Reg</t>
  </si>
  <si>
    <t>Campos</t>
  </si>
  <si>
    <t>Bytes</t>
  </si>
  <si>
    <t>VARCHAR</t>
  </si>
  <si>
    <t>MB</t>
  </si>
  <si>
    <t>KB</t>
  </si>
  <si>
    <t>Indice %25 Proyectado</t>
  </si>
  <si>
    <t>Registros Proyectados</t>
  </si>
  <si>
    <t>Mes</t>
  </si>
  <si>
    <t>Anual</t>
  </si>
  <si>
    <t>Crecimiento Organico MB</t>
  </si>
  <si>
    <t>documentos_observacion</t>
  </si>
  <si>
    <t>especialidades</t>
  </si>
  <si>
    <t>esquemas_qt</t>
  </si>
  <si>
    <t>grupos_derivacion</t>
  </si>
  <si>
    <t>historico_modificaciones</t>
  </si>
  <si>
    <t>historico_plantillas</t>
  </si>
  <si>
    <t>medicamentos</t>
  </si>
  <si>
    <t>medicos</t>
  </si>
  <si>
    <t>partida_solicitud</t>
  </si>
  <si>
    <t>partidas_presupuesto</t>
  </si>
  <si>
    <t>plantilla_tipo_cg</t>
  </si>
  <si>
    <t>plantillas_beneficios</t>
  </si>
  <si>
    <t>procedimientos</t>
  </si>
  <si>
    <t>proveedores</t>
  </si>
  <si>
    <t>sedes</t>
  </si>
  <si>
    <t>solicitudes</t>
  </si>
  <si>
    <t>tipo_cg</t>
  </si>
  <si>
    <t>tipo_cg_cobertura</t>
  </si>
  <si>
    <t>tipo_cg_especialidad</t>
  </si>
  <si>
    <t>tracking_autorizaciones</t>
  </si>
  <si>
    <t>usuarios</t>
  </si>
  <si>
    <t>usuario_derivacion</t>
  </si>
  <si>
    <t>Anual(Gb)</t>
  </si>
  <si>
    <t>Gb</t>
  </si>
  <si>
    <t>Usuarios nuevos estimados</t>
  </si>
  <si>
    <t>Citas mensuales proyectadas</t>
  </si>
  <si>
    <t>Registro de cuenta</t>
  </si>
  <si>
    <t>Confirmacion de cita</t>
  </si>
  <si>
    <t>Recordatorio de cita</t>
  </si>
  <si>
    <t>Cancelacion o reprogramacion</t>
  </si>
  <si>
    <t>Confirmacion de asistencia</t>
  </si>
  <si>
    <t>Recursos multimedia base</t>
  </si>
  <si>
    <t>Recursos multimedia proyectados</t>
  </si>
  <si>
    <t>Archivos</t>
  </si>
  <si>
    <t>Imagen de servicio (12/mes)</t>
  </si>
  <si>
    <t>Foto de barbero (8/mes)</t>
  </si>
  <si>
    <t>Banner y portada (10/mes)</t>
  </si>
  <si>
    <t>5 GB</t>
  </si>
  <si>
    <t>Reserva suficiente para imagenes iniciales y crecimiento anual.</t>
  </si>
  <si>
    <t>Usuarios activos mensuales</t>
  </si>
  <si>
    <t>Perfiles, citas y waitlist</t>
  </si>
  <si>
    <t>28 registrados</t>
  </si>
  <si>
    <t>12 activos / 16 sin citas</t>
  </si>
  <si>
    <t>180 citas/mes</t>
  </si>
  <si>
    <t>6 por dia aprox.</t>
  </si>
  <si>
    <t>3 a 5</t>
  </si>
  <si>
    <t>escrituras concurrentes pico</t>
  </si>
  <si>
    <t>20 a 30</t>
  </si>
  <si>
    <t>lecturas concurrentes pico</t>
  </si>
  <si>
    <t>Next.js + Supabase + Vercel</t>
  </si>
  <si>
    <t>Arquitectura objetivo del MVP</t>
  </si>
  <si>
    <t>Concepto</t>
  </si>
  <si>
    <t>Valor</t>
  </si>
  <si>
    <t>Observacion</t>
  </si>
  <si>
    <t>Usuarios registrados de referencia</t>
  </si>
  <si>
    <t>Basado en el estado actual del proyecto.</t>
  </si>
  <si>
    <t>Usuarios activos por uso</t>
  </si>
  <si>
    <t>Usuarios con al menos una cita.</t>
  </si>
  <si>
    <t>Usuarios sin citas</t>
  </si>
  <si>
    <t>Registrados sin actividad transaccional.</t>
  </si>
  <si>
    <t>Citas proyectadas por mes</t>
  </si>
  <si>
    <t>Escenario ficticio realista para un MVP multi-sede en crecimiento.</t>
  </si>
  <si>
    <t>Nuevos registros por mes</t>
  </si>
  <si>
    <t>Supuesto de captacion mensual moderada.</t>
  </si>
  <si>
    <t>Cancelaciones o reprogramaciones por mes</t>
  </si>
  <si>
    <t>Aproximadamente 15% de las citas mensuales proyectadas.</t>
  </si>
  <si>
    <t>Activos visuales nuevos por mes</t>
  </si>
  <si>
    <t>Servicios, barberos, banners y portadas.</t>
  </si>
  <si>
    <t>Reserva operativa de base de datos</t>
  </si>
  <si>
    <t>1 GB/mes</t>
  </si>
  <si>
    <t>Reserva tecnica, superior al consumo real estimado.</t>
  </si>
  <si>
    <t>Lecturas concurrentes pico</t>
  </si>
  <si>
    <t>Coherente con catalogo, disponibilidad y admin en hora pico.</t>
  </si>
  <si>
    <t>Escrituras concurrentes pico</t>
  </si>
  <si>
    <t>Coherente con reservas y actualizaciones administrativas.</t>
  </si>
  <si>
    <t>15</t>
  </si>
  <si>
    <t>180</t>
  </si>
  <si>
    <t>2160</t>
  </si>
  <si>
    <t>68</t>
  </si>
  <si>
    <t>0.068</t>
  </si>
  <si>
    <t>1.02</t>
  </si>
  <si>
    <t>0.00102</t>
  </si>
  <si>
    <t>12.24</t>
  </si>
  <si>
    <t>0.01224</t>
  </si>
  <si>
    <t>82</t>
  </si>
  <si>
    <t>0.082</t>
  </si>
  <si>
    <t>14.76</t>
  </si>
  <si>
    <t>0.01476</t>
  </si>
  <si>
    <t>177.12</t>
  </si>
  <si>
    <t>0.17712</t>
  </si>
  <si>
    <t>76</t>
  </si>
  <si>
    <t>0.076</t>
  </si>
  <si>
    <t>13.68</t>
  </si>
  <si>
    <t>0.01368</t>
  </si>
  <si>
    <t>164.16</t>
  </si>
  <si>
    <t>0.16416</t>
  </si>
  <si>
    <t>28</t>
  </si>
  <si>
    <t>74</t>
  </si>
  <si>
    <t>0.074</t>
  </si>
  <si>
    <t>2.072</t>
  </si>
  <si>
    <t>0.002072</t>
  </si>
  <si>
    <t>24.864</t>
  </si>
  <si>
    <t>0.024864</t>
  </si>
  <si>
    <t>95</t>
  </si>
  <si>
    <t>71</t>
  </si>
  <si>
    <t>0.071</t>
  </si>
  <si>
    <t>6.745</t>
  </si>
  <si>
    <t>0.006745</t>
  </si>
  <si>
    <t>80.94</t>
  </si>
  <si>
    <t>0.08094</t>
  </si>
  <si>
    <t>498</t>
  </si>
  <si>
    <t>371</t>
  </si>
  <si>
    <t>0.371</t>
  </si>
  <si>
    <t>38.277</t>
  </si>
  <si>
    <t>0.038277</t>
  </si>
  <si>
    <t>459.324</t>
  </si>
  <si>
    <t>0.459324</t>
  </si>
  <si>
    <t>18</t>
  </si>
  <si>
    <t>216</t>
  </si>
  <si>
    <t>30</t>
  </si>
  <si>
    <t>360</t>
  </si>
  <si>
    <t>220</t>
  </si>
  <si>
    <t>0.22</t>
  </si>
  <si>
    <t>2.64</t>
  </si>
  <si>
    <t>0.00264</t>
  </si>
  <si>
    <t>31.68</t>
  </si>
  <si>
    <t>0.03168</t>
  </si>
  <si>
    <t>320</t>
  </si>
  <si>
    <t>0.32</t>
  </si>
  <si>
    <t>2.56</t>
  </si>
  <si>
    <t>0.00256</t>
  </si>
  <si>
    <t>30.72</t>
  </si>
  <si>
    <t>0.03072</t>
  </si>
  <si>
    <t>410</t>
  </si>
  <si>
    <t>0.41</t>
  </si>
  <si>
    <t>4.10</t>
  </si>
  <si>
    <t>0.00410</t>
  </si>
  <si>
    <t>49.20</t>
  </si>
  <si>
    <t>0.04920</t>
  </si>
  <si>
    <t>950</t>
  </si>
  <si>
    <t>0.95</t>
  </si>
  <si>
    <t>9.30</t>
  </si>
  <si>
    <t>0.00930</t>
  </si>
  <si>
    <t>111.60</t>
  </si>
  <si>
    <t>0.11160</t>
  </si>
  <si>
    <t>12</t>
  </si>
  <si>
    <t>144</t>
  </si>
  <si>
    <t>4500</t>
  </si>
  <si>
    <t>4.39</t>
  </si>
  <si>
    <t>0.00439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</si>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</sst>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2" fontId="0" fillId="0" borderId="1" xfId="0" applyNumberFormat="1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49" fontId="1" fillId="0" borderId="1" xfId="0" applyNumberFormat="1" applyFont="1" applyBorder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245-C546-4805-8F2A-77500BDE8291}">
  <dimension ref="A1:C11"/>
  <sheetViews>
    <sheetView workbookViewId="0"/>
  </sheetViews>
  <sheetFormatPr baseColWidth="10" defaultRowHeight="14.4" x14ac:dyDescent="0.3"/>
  <cols>
    <col min="1" max="1" width="36.77734375" bestFit="1" customWidth="1"/>
    <col min="2" max="2" width="8.88671875" bestFit="1" customWidth="1"/>
    <col min="3" max="3" width="54.109375" bestFit="1" customWidth="1"/>
  </cols>
  <sheetData>
    <row r="1" spans="1:3" x14ac:dyDescent="0.3">
      <c r="A1" t="s">
        <v>98</v>
      </c>
      <c r="B1" t="s">
        <v>99</v>
      </c>
      <c r="C1" t="s">
        <v>100</v>
      </c>
    </row>
    <row r="2" spans="1:3" x14ac:dyDescent="0.3">
      <c r="A2" t="s">
        <v>101</v>
      </c>
      <c r="C2" t="s">
        <v>102</v>
      </c>
    </row>
    <row r="3" spans="1:3" x14ac:dyDescent="0.3">
      <c r="A3" t="s">
        <v>103</v>
      </c>
      <c r="C3" t="s">
        <v>104</v>
      </c>
    </row>
    <row r="4" spans="1:3" x14ac:dyDescent="0.3">
      <c r="A4" t="s">
        <v>105</v>
      </c>
      <c r="C4" t="s">
        <v>106</v>
      </c>
    </row>
    <row r="5" spans="1:3" x14ac:dyDescent="0.3">
      <c r="A5" t="s">
        <v>107</v>
      </c>
      <c r="C5" t="s">
        <v>108</v>
      </c>
    </row>
    <row r="6" spans="1:3" x14ac:dyDescent="0.3">
      <c r="A6" t="s">
        <v>109</v>
      </c>
      <c r="C6" t="s">
        <v>110</v>
      </c>
    </row>
    <row r="7" spans="1:3" x14ac:dyDescent="0.3">
      <c r="A7" t="s">
        <v>111</v>
      </c>
      <c r="C7" t="s">
        <v>112</v>
      </c>
    </row>
    <row r="8" spans="1:3" x14ac:dyDescent="0.3">
      <c r="A8" t="s">
        <v>113</v>
      </c>
      <c r="C8" t="s">
        <v>114</v>
      </c>
    </row>
    <row r="9" spans="1:3" x14ac:dyDescent="0.3">
      <c r="A9" t="s">
        <v>115</v>
      </c>
      <c r="B9" t="s">
        <v>116</v>
      </c>
      <c r="C9" t="s">
        <v>117</v>
      </c>
    </row>
    <row r="10" spans="1:3" x14ac:dyDescent="0.3">
      <c r="A10" t="s">
        <v>118</v>
      </c>
      <c r="B10" t="s">
        <v>94</v>
      </c>
      <c r="C10" t="s">
        <v>119</v>
      </c>
    </row>
    <row r="11" spans="1:3" x14ac:dyDescent="0.3">
      <c r="A11" t="s">
        <v>120</v>
      </c>
      <c r="B11" t="s">
        <v>92</v>
      </c>
      <c r="C1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8B38-876F-425A-A0BC-163F16AF40AE}">
  <dimension ref="B2:I12"/>
  <sheetViews>
    <sheetView zoomScale="130" zoomScaleNormal="130" workbookViewId="0">
      <selection activeCell="C4" sqref="C4"/>
    </sheetView>
  </sheetViews>
  <sheetFormatPr baseColWidth="10" defaultRowHeight="14.4" x14ac:dyDescent="0.3"/>
  <cols>
    <col min="2" max="2" width="27" bestFit="1" customWidth="1"/>
    <col min="3" max="3" width="13.77734375" bestFit="1" customWidth="1"/>
    <col min="4" max="4" width="13.5546875" bestFit="1" customWidth="1"/>
    <col min="5" max="5" width="12.21875" bestFit="1" customWidth="1"/>
    <col min="6" max="6" width="11.77734375" bestFit="1" customWidth="1"/>
    <col min="7" max="8" width="11.44140625" bestFit="1" customWidth="1"/>
    <col min="9" max="9" width="11.21875" bestFit="1" customWidth="1"/>
  </cols>
  <sheetData>
    <row r="2" spans="2:9" x14ac:dyDescent="0.3">
      <c r="B2" s="3" t="s">
        <v>0</v>
      </c>
      <c r="C2" s="3" t="s">
        <v>1</v>
      </c>
      <c r="D2" s="3" t="s">
        <v>2</v>
      </c>
    </row>
    <row r="3" spans="2:9" x14ac:dyDescent="0.3">
      <c r="B3" s="12" t="s">
        <v>71</v>
      </c>
      <c r="C3" s="13" t="s">
        <v>122</v>
      </c>
      <c r="D3" s="13" t="s">
        <v>123</v>
      </c>
    </row>
    <row r="4" spans="2:9" x14ac:dyDescent="0.3">
      <c r="B4" s="12" t="s">
        <v>72</v>
      </c>
      <c r="C4" s="13" t="s">
        <v>123</v>
      </c>
      <c r="D4" s="13" t="s">
        <v>124</v>
      </c>
    </row>
    <row r="6" spans="2:9" x14ac:dyDescent="0.3">
      <c r="B6" s="14" t="s">
        <v>3</v>
      </c>
      <c r="C6" s="5" t="s">
        <v>22</v>
      </c>
      <c r="D6" s="5" t="s">
        <v>5</v>
      </c>
      <c r="E6" s="5" t="s">
        <v>4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 x14ac:dyDescent="0.3">
      <c r="B7" s="12" t="s">
        <v>73</v>
      </c>
      <c r="C7" s="15" t="s">
        <v>122</v>
      </c>
      <c r="D7" s="15" t="s">
        <v>125</v>
      </c>
      <c r="E7" s="15" t="s">
        <v>126</v>
      </c>
      <c r="F7" s="15" t="s">
        <v>127</v>
      </c>
      <c r="G7" s="15" t="s">
        <v>128</v>
      </c>
      <c r="H7" s="15" t="s">
        <v>129</v>
      </c>
      <c r="I7" s="15" t="s">
        <v>130</v>
      </c>
    </row>
    <row r="8" spans="2:9" x14ac:dyDescent="0.3">
      <c r="B8" s="12" t="s">
        <v>74</v>
      </c>
      <c r="C8" s="15" t="s">
        <v>123</v>
      </c>
      <c r="D8" s="15" t="s">
        <v>131</v>
      </c>
      <c r="E8" s="15" t="s">
        <v>132</v>
      </c>
      <c r="F8" s="15" t="s">
        <v>133</v>
      </c>
      <c r="G8" s="15" t="s">
        <v>134</v>
      </c>
      <c r="H8" s="15" t="s">
        <v>135</v>
      </c>
      <c r="I8" s="15" t="s">
        <v>136</v>
      </c>
    </row>
    <row r="9" spans="2:9" x14ac:dyDescent="0.3">
      <c r="B9" s="12" t="s">
        <v>75</v>
      </c>
      <c r="C9" s="15" t="s">
        <v>123</v>
      </c>
      <c r="D9" s="15" t="s">
        <v>137</v>
      </c>
      <c r="E9" s="15" t="s">
        <v>138</v>
      </c>
      <c r="F9" s="15" t="s">
        <v>139</v>
      </c>
      <c r="G9" s="15" t="s">
        <v>140</v>
      </c>
      <c r="H9" s="15" t="s">
        <v>141</v>
      </c>
      <c r="I9" s="15" t="s">
        <v>142</v>
      </c>
    </row>
    <row r="10" spans="2:9" x14ac:dyDescent="0.3">
      <c r="B10" s="12" t="s">
        <v>76</v>
      </c>
      <c r="C10" s="15" t="s">
        <v>143</v>
      </c>
      <c r="D10" s="15" t="s">
        <v>144</v>
      </c>
      <c r="E10" s="15" t="s">
        <v>145</v>
      </c>
      <c r="F10" s="15" t="s">
        <v>146</v>
      </c>
      <c r="G10" s="15" t="s">
        <v>147</v>
      </c>
      <c r="H10" s="15" t="s">
        <v>148</v>
      </c>
      <c r="I10" s="15" t="s">
        <v>149</v>
      </c>
    </row>
    <row r="11" spans="2:9" x14ac:dyDescent="0.3">
      <c r="B11" s="12" t="s">
        <v>77</v>
      </c>
      <c r="C11" s="15" t="s">
        <v>150</v>
      </c>
      <c r="D11" s="15" t="s">
        <v>151</v>
      </c>
      <c r="E11" s="15" t="s">
        <v>152</v>
      </c>
      <c r="F11" s="15" t="s">
        <v>153</v>
      </c>
      <c r="G11" s="15" t="s">
        <v>154</v>
      </c>
      <c r="H11" s="15" t="s">
        <v>155</v>
      </c>
      <c r="I11" s="15" t="s">
        <v>156</v>
      </c>
    </row>
    <row r="12" spans="2:9" x14ac:dyDescent="0.3">
      <c r="B12" s="16" t="s">
        <v>10</v>
      </c>
      <c r="C12" s="17" t="s">
        <v>157</v>
      </c>
      <c r="D12" s="17" t="s">
        <v>158</v>
      </c>
      <c r="E12" s="17" t="s">
        <v>159</v>
      </c>
      <c r="F12" s="17" t="s">
        <v>160</v>
      </c>
      <c r="G12" s="17" t="s">
        <v>161</v>
      </c>
      <c r="H12" s="17" t="s">
        <v>162</v>
      </c>
      <c r="I12" s="17" t="s">
        <v>163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AC3E-5690-43EA-94EA-A576DE6C76C9}">
  <dimension ref="B2:J12"/>
  <sheetViews>
    <sheetView zoomScale="110" zoomScaleNormal="110" workbookViewId="0">
      <selection activeCell="N8" sqref="N8"/>
    </sheetView>
  </sheetViews>
  <sheetFormatPr baseColWidth="10" defaultRowHeight="14.4" x14ac:dyDescent="0.3"/>
  <cols>
    <col min="2" max="2" width="29.77734375" bestFit="1" customWidth="1"/>
    <col min="3" max="3" width="13.88671875" bestFit="1" customWidth="1"/>
    <col min="4" max="4" width="13.6640625" bestFit="1" customWidth="1"/>
    <col min="5" max="5" width="11.77734375" bestFit="1" customWidth="1"/>
    <col min="6" max="7" width="11.6640625" bestFit="1" customWidth="1"/>
    <col min="8" max="8" width="11.44140625" bestFit="1" customWidth="1"/>
    <col min="9" max="9" width="13" bestFit="1" customWidth="1"/>
    <col min="10" max="10" width="52.77734375" bestFit="1" customWidth="1"/>
  </cols>
  <sheetData>
    <row r="2" spans="2:10" x14ac:dyDescent="0.3">
      <c r="B2" s="3" t="s">
        <v>0</v>
      </c>
      <c r="C2" s="3" t="s">
        <v>1</v>
      </c>
      <c r="D2" s="3" t="s">
        <v>2</v>
      </c>
    </row>
    <row r="3" spans="2:10" x14ac:dyDescent="0.3">
      <c r="B3" s="12" t="s">
        <v>78</v>
      </c>
      <c r="C3" s="13" t="s">
        <v>164</v>
      </c>
      <c r="D3" s="13" t="s">
        <v>165</v>
      </c>
    </row>
    <row r="4" spans="2:10" x14ac:dyDescent="0.3">
      <c r="B4" s="12" t="s">
        <v>79</v>
      </c>
      <c r="C4" s="13" t="s">
        <v>166</v>
      </c>
      <c r="D4" s="13" t="s">
        <v>167</v>
      </c>
    </row>
    <row r="8" spans="2:10" x14ac:dyDescent="0.3">
      <c r="B8" s="14" t="s">
        <v>80</v>
      </c>
      <c r="C8" s="5" t="s">
        <v>5</v>
      </c>
      <c r="D8" s="5" t="s">
        <v>4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23</v>
      </c>
    </row>
    <row r="9" spans="2:10" x14ac:dyDescent="0.3">
      <c r="B9" s="12" t="s">
        <v>81</v>
      </c>
      <c r="C9" s="15" t="s">
        <v>168</v>
      </c>
      <c r="D9" s="15" t="s">
        <v>169</v>
      </c>
      <c r="E9" s="15" t="s">
        <v>170</v>
      </c>
      <c r="F9" s="15" t="s">
        <v>171</v>
      </c>
      <c r="G9" s="15" t="s">
        <v>172</v>
      </c>
      <c r="H9" s="15" t="s">
        <v>173</v>
      </c>
      <c r="I9" s="2"/>
    </row>
    <row r="10" spans="2:10" x14ac:dyDescent="0.3">
      <c r="B10" s="12" t="s">
        <v>82</v>
      </c>
      <c r="C10" s="15" t="s">
        <v>174</v>
      </c>
      <c r="D10" s="15" t="s">
        <v>175</v>
      </c>
      <c r="E10" s="15" t="s">
        <v>176</v>
      </c>
      <c r="F10" s="15" t="s">
        <v>177</v>
      </c>
      <c r="G10" s="15" t="s">
        <v>178</v>
      </c>
      <c r="H10" s="15" t="s">
        <v>179</v>
      </c>
      <c r="I10" s="2"/>
    </row>
    <row r="11" spans="2:10" x14ac:dyDescent="0.3">
      <c r="B11" s="12" t="s">
        <v>83</v>
      </c>
      <c r="C11" s="15" t="s">
        <v>180</v>
      </c>
      <c r="D11" s="15" t="s">
        <v>181</v>
      </c>
      <c r="E11" s="15" t="s">
        <v>182</v>
      </c>
      <c r="F11" s="15" t="s">
        <v>183</v>
      </c>
      <c r="G11" s="15" t="s">
        <v>184</v>
      </c>
      <c r="H11" s="15" t="s">
        <v>185</v>
      </c>
      <c r="I11" s="2"/>
    </row>
    <row r="12" spans="2:10" x14ac:dyDescent="0.3">
      <c r="B12" s="16" t="s">
        <v>10</v>
      </c>
      <c r="C12" s="17" t="s">
        <v>186</v>
      </c>
      <c r="D12" s="17" t="s">
        <v>187</v>
      </c>
      <c r="E12" s="17" t="s">
        <v>188</v>
      </c>
      <c r="F12" s="17" t="s">
        <v>189</v>
      </c>
      <c r="G12" s="17" t="s">
        <v>190</v>
      </c>
      <c r="H12" s="17" t="s">
        <v>191</v>
      </c>
      <c r="I12" s="17" t="s">
        <v>84</v>
      </c>
      <c r="J12" s="18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BC4B-367F-4CD3-B8CC-AEB2706BC32B}">
  <dimension ref="A2:H71"/>
  <sheetViews>
    <sheetView tabSelected="1" zoomScale="85" zoomScaleNormal="85" workbookViewId="0">
      <selection activeCell="I14" sqref="I14"/>
    </sheetView>
  </sheetViews>
  <sheetFormatPr baseColWidth="10" defaultRowHeight="14.4" x14ac:dyDescent="0.3"/>
  <cols>
    <col min="1" max="1" width="3" bestFit="1" customWidth="1"/>
    <col min="2" max="2" width="67.44140625" bestFit="1" customWidth="1"/>
    <col min="3" max="3" width="24.44140625" bestFit="1" customWidth="1"/>
    <col min="4" max="4" width="26.109375" bestFit="1" customWidth="1"/>
    <col min="5" max="5" width="11.88671875" bestFit="1" customWidth="1"/>
    <col min="6" max="6" width="23.109375" bestFit="1" customWidth="1"/>
    <col min="7" max="7" width="23" bestFit="1" customWidth="1"/>
    <col min="8" max="8" width="4.5546875" bestFit="1" customWidth="1"/>
  </cols>
  <sheetData>
    <row r="2" spans="2:7" x14ac:dyDescent="0.3">
      <c r="B2" s="3" t="s">
        <v>0</v>
      </c>
      <c r="C2" s="3" t="s">
        <v>1</v>
      </c>
      <c r="D2" s="3" t="s">
        <v>2</v>
      </c>
    </row>
    <row r="3" spans="2:7" x14ac:dyDescent="0.3">
      <c r="B3" s="12" t="s">
        <v>86</v>
      </c>
      <c r="C3" s="13" t="s">
        <v>192</v>
      </c>
      <c r="D3" s="13" t="s">
        <v>193</v>
      </c>
    </row>
    <row r="4" spans="2:7" x14ac:dyDescent="0.3">
      <c r="B4" s="12" t="s">
        <v>72</v>
      </c>
      <c r="C4" s="13" t="s">
        <v>123</v>
      </c>
      <c r="D4" s="13" t="s">
        <v>124</v>
      </c>
    </row>
    <row r="6" spans="2:7" x14ac:dyDescent="0.3">
      <c r="B6" s="4" t="s">
        <v>11</v>
      </c>
      <c r="C6" s="5" t="s">
        <v>12</v>
      </c>
      <c r="D6" s="5" t="s">
        <v>14</v>
      </c>
      <c r="E6" s="5" t="s">
        <v>13</v>
      </c>
      <c r="F6" s="5" t="s">
        <v>15</v>
      </c>
      <c r="G6" s="5" t="s">
        <v>16</v>
      </c>
    </row>
    <row r="7" spans="2:7" x14ac:dyDescent="0.3">
      <c r="B7" s="12" t="s">
        <v>87</v>
      </c>
      <c r="C7" s="15" t="s">
        <v>194</v>
      </c>
      <c r="D7" s="15" t="s">
        <v>195</v>
      </c>
      <c r="E7" s="15" t="s">
        <v>196</v>
      </c>
      <c r="F7" s="15" t="s">
        <v>197</v>
      </c>
      <c r="G7" s="15" t="s">
        <v>192</v>
      </c>
    </row>
    <row r="8" spans="2:7" x14ac:dyDescent="0.3">
      <c r="B8" s="16" t="s">
        <v>10</v>
      </c>
      <c r="C8" s="17" t="s">
        <v>194</v>
      </c>
      <c r="D8" s="17" t="s">
        <v>195</v>
      </c>
      <c r="E8" s="17" t="s">
        <v>196</v>
      </c>
      <c r="F8" s="17" t="s">
        <v>197</v>
      </c>
      <c r="G8" s="17" t="s">
        <v>192</v>
      </c>
    </row>
    <row r="10" spans="2:7" x14ac:dyDescent="0.3">
      <c r="B10" t="s">
        <v>17</v>
      </c>
      <c r="C10" s="18" t="s">
        <v>88</v>
      </c>
      <c r="D10" s="18" t="s">
        <v>89</v>
      </c>
    </row>
    <row r="11" spans="2:7" x14ac:dyDescent="0.3">
      <c r="B11" t="s">
        <v>18</v>
      </c>
      <c r="C11" s="18" t="s">
        <v>90</v>
      </c>
      <c r="D11" s="18" t="s">
        <v>91</v>
      </c>
    </row>
    <row r="12" spans="2:7" x14ac:dyDescent="0.3">
      <c r="B12" t="s">
        <v>19</v>
      </c>
      <c r="C12" s="18" t="s">
        <v>92</v>
      </c>
      <c r="D12" s="18" t="s">
        <v>93</v>
      </c>
    </row>
    <row r="13" spans="2:7" x14ac:dyDescent="0.3">
      <c r="B13" t="s">
        <v>20</v>
      </c>
      <c r="C13" s="18" t="s">
        <v>94</v>
      </c>
      <c r="D13" s="18" t="s">
        <v>95</v>
      </c>
    </row>
    <row r="14" spans="2:7" x14ac:dyDescent="0.3">
      <c r="B14" t="s">
        <v>21</v>
      </c>
      <c r="C14" s="18" t="s">
        <v>96</v>
      </c>
      <c r="D14" s="18" t="s">
        <v>97</v>
      </c>
    </row>
    <row r="17" spans="1:6" x14ac:dyDescent="0.3">
      <c r="B17" t="s">
        <v>24</v>
      </c>
    </row>
    <row r="30" spans="1:6" x14ac:dyDescent="0.3">
      <c r="A30" s="1"/>
      <c r="B30" s="1"/>
      <c r="C30" s="1" t="s">
        <v>36</v>
      </c>
      <c r="D30" s="1" t="s">
        <v>37</v>
      </c>
      <c r="E30" s="1" t="s">
        <v>39</v>
      </c>
      <c r="F30" s="1" t="s">
        <v>38</v>
      </c>
    </row>
    <row r="31" spans="1:6" x14ac:dyDescent="0.3">
      <c r="A31" s="1">
        <v>1</v>
      </c>
      <c r="B31" s="1" t="s">
        <v>25</v>
      </c>
      <c r="C31" s="1">
        <v>1</v>
      </c>
      <c r="D31" s="1">
        <v>11</v>
      </c>
      <c r="E31" s="1">
        <v>945</v>
      </c>
      <c r="F31" s="1">
        <f>E31</f>
        <v>945</v>
      </c>
    </row>
    <row r="32" spans="1:6" x14ac:dyDescent="0.3">
      <c r="A32" s="1">
        <v>2</v>
      </c>
      <c r="B32" s="1" t="s">
        <v>26</v>
      </c>
      <c r="C32" s="1">
        <v>1</v>
      </c>
      <c r="D32" s="1">
        <v>11</v>
      </c>
      <c r="E32" s="1">
        <v>146</v>
      </c>
      <c r="F32" s="1">
        <f>E32</f>
        <v>146</v>
      </c>
    </row>
    <row r="33" spans="1:6" x14ac:dyDescent="0.3">
      <c r="A33" s="1">
        <v>3</v>
      </c>
      <c r="B33" s="1" t="s">
        <v>27</v>
      </c>
      <c r="C33" s="1">
        <v>1</v>
      </c>
      <c r="D33" s="1">
        <v>6</v>
      </c>
      <c r="E33" s="1">
        <v>724</v>
      </c>
      <c r="F33" s="1">
        <f t="shared" ref="F33:F63" si="0">E33</f>
        <v>724</v>
      </c>
    </row>
    <row r="34" spans="1:6" x14ac:dyDescent="0.3">
      <c r="A34" s="1">
        <v>4</v>
      </c>
      <c r="B34" s="1" t="s">
        <v>28</v>
      </c>
      <c r="C34" s="1">
        <v>1</v>
      </c>
      <c r="D34" s="1">
        <v>10</v>
      </c>
      <c r="E34" s="1">
        <v>377</v>
      </c>
      <c r="F34" s="1">
        <f t="shared" si="0"/>
        <v>377</v>
      </c>
    </row>
    <row r="35" spans="1:6" x14ac:dyDescent="0.3">
      <c r="A35" s="1">
        <v>5</v>
      </c>
      <c r="B35" s="1" t="s">
        <v>29</v>
      </c>
      <c r="C35" s="1">
        <v>1</v>
      </c>
      <c r="D35" s="1">
        <v>4</v>
      </c>
      <c r="E35" s="1">
        <v>366</v>
      </c>
      <c r="F35" s="1">
        <f t="shared" si="0"/>
        <v>366</v>
      </c>
    </row>
    <row r="36" spans="1:6" x14ac:dyDescent="0.3">
      <c r="A36" s="1">
        <v>6</v>
      </c>
      <c r="B36" s="1" t="s">
        <v>30</v>
      </c>
      <c r="C36" s="1">
        <v>1</v>
      </c>
      <c r="D36" s="1">
        <v>7</v>
      </c>
      <c r="E36" s="1">
        <v>445</v>
      </c>
      <c r="F36" s="1">
        <f t="shared" si="0"/>
        <v>445</v>
      </c>
    </row>
    <row r="37" spans="1:6" x14ac:dyDescent="0.3">
      <c r="A37" s="1">
        <v>7</v>
      </c>
      <c r="B37" s="1" t="s">
        <v>31</v>
      </c>
      <c r="C37" s="1">
        <v>1</v>
      </c>
      <c r="D37" s="1">
        <v>6</v>
      </c>
      <c r="E37" s="1">
        <v>554</v>
      </c>
      <c r="F37" s="1">
        <f t="shared" si="0"/>
        <v>554</v>
      </c>
    </row>
    <row r="38" spans="1:6" x14ac:dyDescent="0.3">
      <c r="A38" s="1">
        <v>8</v>
      </c>
      <c r="B38" s="1" t="s">
        <v>32</v>
      </c>
      <c r="C38" s="1">
        <v>1</v>
      </c>
      <c r="D38" s="1">
        <v>9</v>
      </c>
      <c r="E38" s="1">
        <v>546</v>
      </c>
      <c r="F38" s="1">
        <f t="shared" si="0"/>
        <v>546</v>
      </c>
    </row>
    <row r="39" spans="1:6" x14ac:dyDescent="0.3">
      <c r="A39" s="1">
        <v>9</v>
      </c>
      <c r="B39" s="1" t="s">
        <v>33</v>
      </c>
      <c r="C39" s="1">
        <v>1</v>
      </c>
      <c r="D39" s="1">
        <v>4</v>
      </c>
      <c r="E39" s="1">
        <v>28</v>
      </c>
      <c r="F39" s="1">
        <f t="shared" si="0"/>
        <v>28</v>
      </c>
    </row>
    <row r="40" spans="1:6" x14ac:dyDescent="0.3">
      <c r="A40" s="1">
        <v>10</v>
      </c>
      <c r="B40" s="1" t="s">
        <v>34</v>
      </c>
      <c r="C40" s="1">
        <v>1</v>
      </c>
      <c r="D40" s="1">
        <v>4</v>
      </c>
      <c r="E40" s="1">
        <v>125</v>
      </c>
      <c r="F40" s="1">
        <f t="shared" si="0"/>
        <v>125</v>
      </c>
    </row>
    <row r="41" spans="1:6" x14ac:dyDescent="0.3">
      <c r="A41" s="1">
        <v>11</v>
      </c>
      <c r="B41" s="1" t="s">
        <v>35</v>
      </c>
      <c r="C41" s="1">
        <v>1</v>
      </c>
      <c r="D41" s="1">
        <v>10</v>
      </c>
      <c r="E41" s="1">
        <v>342</v>
      </c>
      <c r="F41" s="1">
        <f t="shared" si="0"/>
        <v>342</v>
      </c>
    </row>
    <row r="42" spans="1:6" x14ac:dyDescent="0.3">
      <c r="A42" s="1">
        <v>12</v>
      </c>
      <c r="B42" s="1" t="s">
        <v>47</v>
      </c>
      <c r="C42" s="1">
        <v>1</v>
      </c>
      <c r="D42" s="1">
        <v>5</v>
      </c>
      <c r="E42" s="1">
        <v>624</v>
      </c>
      <c r="F42" s="1">
        <f t="shared" si="0"/>
        <v>624</v>
      </c>
    </row>
    <row r="43" spans="1:6" x14ac:dyDescent="0.3">
      <c r="A43" s="1">
        <v>13</v>
      </c>
      <c r="B43" s="1" t="s">
        <v>48</v>
      </c>
      <c r="C43" s="1">
        <v>1</v>
      </c>
      <c r="D43" s="1">
        <v>7</v>
      </c>
      <c r="E43" s="1">
        <v>180</v>
      </c>
      <c r="F43" s="1">
        <f t="shared" si="0"/>
        <v>180</v>
      </c>
    </row>
    <row r="44" spans="1:6" x14ac:dyDescent="0.3">
      <c r="A44" s="1">
        <v>14</v>
      </c>
      <c r="B44" s="1" t="s">
        <v>49</v>
      </c>
      <c r="C44" s="1">
        <v>1</v>
      </c>
      <c r="D44" s="1">
        <v>14</v>
      </c>
      <c r="E44" s="1">
        <v>341</v>
      </c>
      <c r="F44" s="1">
        <f t="shared" si="0"/>
        <v>341</v>
      </c>
    </row>
    <row r="45" spans="1:6" x14ac:dyDescent="0.3">
      <c r="A45" s="1">
        <v>15</v>
      </c>
      <c r="B45" s="1" t="s">
        <v>50</v>
      </c>
      <c r="C45" s="1">
        <v>1</v>
      </c>
      <c r="D45" s="1">
        <v>8</v>
      </c>
      <c r="E45" s="1">
        <v>190</v>
      </c>
      <c r="F45" s="1">
        <f t="shared" si="0"/>
        <v>190</v>
      </c>
    </row>
    <row r="46" spans="1:6" x14ac:dyDescent="0.3">
      <c r="A46" s="1">
        <v>16</v>
      </c>
      <c r="B46" s="1" t="s">
        <v>51</v>
      </c>
      <c r="C46" s="1">
        <v>1</v>
      </c>
      <c r="D46" s="1">
        <v>8</v>
      </c>
      <c r="E46" s="1">
        <v>11263</v>
      </c>
      <c r="F46" s="1">
        <f t="shared" si="0"/>
        <v>11263</v>
      </c>
    </row>
    <row r="47" spans="1:6" x14ac:dyDescent="0.3">
      <c r="A47" s="1">
        <v>17</v>
      </c>
      <c r="B47" s="1" t="s">
        <v>52</v>
      </c>
      <c r="C47" s="1">
        <v>1</v>
      </c>
      <c r="D47" s="1">
        <v>14</v>
      </c>
      <c r="E47" s="1">
        <v>40</v>
      </c>
      <c r="F47" s="1">
        <f t="shared" si="0"/>
        <v>40</v>
      </c>
    </row>
    <row r="48" spans="1:6" x14ac:dyDescent="0.3">
      <c r="A48" s="1">
        <v>18</v>
      </c>
      <c r="B48" s="1" t="s">
        <v>53</v>
      </c>
      <c r="C48" s="1">
        <v>1</v>
      </c>
      <c r="D48" s="1">
        <v>13</v>
      </c>
      <c r="E48" s="1">
        <v>512</v>
      </c>
      <c r="F48" s="1">
        <f t="shared" si="0"/>
        <v>512</v>
      </c>
    </row>
    <row r="49" spans="1:7" x14ac:dyDescent="0.3">
      <c r="A49" s="1">
        <v>19</v>
      </c>
      <c r="B49" s="1" t="s">
        <v>54</v>
      </c>
      <c r="C49" s="1">
        <v>1</v>
      </c>
      <c r="D49" s="1">
        <v>12</v>
      </c>
      <c r="E49" s="1">
        <v>310</v>
      </c>
      <c r="F49" s="1">
        <f t="shared" si="0"/>
        <v>310</v>
      </c>
    </row>
    <row r="50" spans="1:7" x14ac:dyDescent="0.3">
      <c r="A50" s="1">
        <v>20</v>
      </c>
      <c r="B50" s="1" t="s">
        <v>55</v>
      </c>
      <c r="C50" s="1">
        <v>1</v>
      </c>
      <c r="D50" s="1">
        <v>5</v>
      </c>
      <c r="E50" s="1">
        <v>153</v>
      </c>
      <c r="F50" s="1">
        <f t="shared" si="0"/>
        <v>153</v>
      </c>
    </row>
    <row r="51" spans="1:7" x14ac:dyDescent="0.3">
      <c r="A51" s="1">
        <v>21</v>
      </c>
      <c r="B51" s="1" t="s">
        <v>56</v>
      </c>
      <c r="C51" s="1">
        <v>1</v>
      </c>
      <c r="D51" s="1">
        <v>7</v>
      </c>
      <c r="E51" s="1">
        <v>180</v>
      </c>
      <c r="F51" s="1">
        <f>E51</f>
        <v>180</v>
      </c>
    </row>
    <row r="52" spans="1:7" x14ac:dyDescent="0.3">
      <c r="A52" s="1">
        <v>22</v>
      </c>
      <c r="B52" s="1" t="s">
        <v>57</v>
      </c>
      <c r="C52" s="1">
        <v>1</v>
      </c>
      <c r="D52" s="1">
        <v>10</v>
      </c>
      <c r="E52" s="1">
        <v>111</v>
      </c>
      <c r="F52" s="1">
        <f t="shared" si="0"/>
        <v>111</v>
      </c>
    </row>
    <row r="53" spans="1:7" x14ac:dyDescent="0.3">
      <c r="A53" s="1">
        <v>23</v>
      </c>
      <c r="B53" s="1" t="s">
        <v>58</v>
      </c>
      <c r="C53" s="1">
        <v>1</v>
      </c>
      <c r="D53" s="1">
        <v>20</v>
      </c>
      <c r="E53" s="1">
        <v>180</v>
      </c>
      <c r="F53" s="1">
        <f t="shared" si="0"/>
        <v>180</v>
      </c>
    </row>
    <row r="54" spans="1:7" x14ac:dyDescent="0.3">
      <c r="A54" s="1">
        <v>24</v>
      </c>
      <c r="B54" s="1" t="s">
        <v>59</v>
      </c>
      <c r="C54" s="1">
        <v>1</v>
      </c>
      <c r="D54" s="1">
        <v>14</v>
      </c>
      <c r="E54" s="1">
        <v>677</v>
      </c>
      <c r="F54" s="1">
        <f t="shared" si="0"/>
        <v>677</v>
      </c>
    </row>
    <row r="55" spans="1:7" x14ac:dyDescent="0.3">
      <c r="A55" s="1">
        <v>25</v>
      </c>
      <c r="B55" s="1" t="s">
        <v>60</v>
      </c>
      <c r="C55" s="1">
        <v>1</v>
      </c>
      <c r="D55" s="1">
        <v>18</v>
      </c>
      <c r="E55" s="1">
        <v>1506</v>
      </c>
      <c r="F55" s="1">
        <f t="shared" si="0"/>
        <v>1506</v>
      </c>
    </row>
    <row r="56" spans="1:7" x14ac:dyDescent="0.3">
      <c r="A56" s="1">
        <v>26</v>
      </c>
      <c r="B56" s="1" t="s">
        <v>61</v>
      </c>
      <c r="C56" s="1">
        <v>1</v>
      </c>
      <c r="D56" s="1">
        <v>17</v>
      </c>
      <c r="E56" s="1">
        <v>1782</v>
      </c>
      <c r="F56" s="1">
        <f t="shared" si="0"/>
        <v>1782</v>
      </c>
    </row>
    <row r="57" spans="1:7" x14ac:dyDescent="0.3">
      <c r="A57" s="1">
        <v>27</v>
      </c>
      <c r="B57" s="1" t="s">
        <v>62</v>
      </c>
      <c r="C57" s="1">
        <v>1</v>
      </c>
      <c r="D57" s="1">
        <v>56</v>
      </c>
      <c r="E57" s="1">
        <v>3512</v>
      </c>
      <c r="F57" s="1">
        <f t="shared" si="0"/>
        <v>3512</v>
      </c>
    </row>
    <row r="58" spans="1:7" x14ac:dyDescent="0.3">
      <c r="A58" s="1">
        <v>28</v>
      </c>
      <c r="B58" s="1" t="s">
        <v>63</v>
      </c>
      <c r="C58" s="1">
        <v>1</v>
      </c>
      <c r="D58" s="1">
        <v>12</v>
      </c>
      <c r="E58" s="1">
        <v>239</v>
      </c>
      <c r="F58" s="1">
        <f t="shared" si="0"/>
        <v>239</v>
      </c>
    </row>
    <row r="59" spans="1:7" x14ac:dyDescent="0.3">
      <c r="A59" s="1">
        <v>29</v>
      </c>
      <c r="B59" s="1" t="s">
        <v>64</v>
      </c>
      <c r="C59" s="1">
        <v>1</v>
      </c>
      <c r="D59" s="1">
        <v>8</v>
      </c>
      <c r="E59" s="1">
        <v>339</v>
      </c>
      <c r="F59" s="1">
        <f t="shared" si="0"/>
        <v>339</v>
      </c>
    </row>
    <row r="60" spans="1:7" x14ac:dyDescent="0.3">
      <c r="A60" s="1">
        <v>30</v>
      </c>
      <c r="B60" s="1" t="s">
        <v>65</v>
      </c>
      <c r="C60" s="1">
        <v>1</v>
      </c>
      <c r="D60" s="1">
        <v>8</v>
      </c>
      <c r="E60" s="1">
        <v>104</v>
      </c>
      <c r="F60" s="1">
        <f t="shared" si="0"/>
        <v>104</v>
      </c>
    </row>
    <row r="61" spans="1:7" x14ac:dyDescent="0.3">
      <c r="A61" s="1">
        <v>31</v>
      </c>
      <c r="B61" s="1" t="s">
        <v>66</v>
      </c>
      <c r="C61" s="1">
        <v>1</v>
      </c>
      <c r="D61" s="1">
        <v>7</v>
      </c>
      <c r="E61" s="1">
        <v>234</v>
      </c>
      <c r="F61" s="1">
        <f t="shared" si="0"/>
        <v>234</v>
      </c>
    </row>
    <row r="62" spans="1:7" x14ac:dyDescent="0.3">
      <c r="A62" s="1">
        <v>32</v>
      </c>
      <c r="B62" s="1" t="s">
        <v>67</v>
      </c>
      <c r="C62" s="1">
        <v>1</v>
      </c>
      <c r="D62" s="1">
        <v>22</v>
      </c>
      <c r="E62" s="1">
        <v>987</v>
      </c>
      <c r="F62" s="1">
        <f t="shared" si="0"/>
        <v>987</v>
      </c>
    </row>
    <row r="63" spans="1:7" x14ac:dyDescent="0.3">
      <c r="A63" s="1">
        <v>33</v>
      </c>
      <c r="B63" s="1" t="s">
        <v>68</v>
      </c>
      <c r="C63" s="1">
        <v>1</v>
      </c>
      <c r="D63" s="1">
        <v>8</v>
      </c>
      <c r="E63" s="1">
        <v>104</v>
      </c>
      <c r="F63" s="7">
        <f t="shared" si="0"/>
        <v>104</v>
      </c>
    </row>
    <row r="64" spans="1:7" x14ac:dyDescent="0.3">
      <c r="C64" s="1" t="s">
        <v>43</v>
      </c>
      <c r="D64" s="1">
        <v>100000</v>
      </c>
      <c r="E64" s="6" t="s">
        <v>10</v>
      </c>
      <c r="F64" s="1">
        <f>SUM(F31:F63)</f>
        <v>28166</v>
      </c>
      <c r="G64" s="1" t="s">
        <v>38</v>
      </c>
    </row>
    <row r="65" spans="5:8" x14ac:dyDescent="0.3">
      <c r="F65" s="1">
        <f>F64*D64</f>
        <v>2816600000</v>
      </c>
      <c r="G65" s="1" t="s">
        <v>38</v>
      </c>
    </row>
    <row r="66" spans="5:8" x14ac:dyDescent="0.3">
      <c r="F66" s="8">
        <f>F65/1024</f>
        <v>2750585.9375</v>
      </c>
      <c r="G66" s="1" t="s">
        <v>41</v>
      </c>
    </row>
    <row r="67" spans="5:8" x14ac:dyDescent="0.3">
      <c r="F67" s="8">
        <f>F66/1024</f>
        <v>2686.1190795898438</v>
      </c>
      <c r="G67" s="1" t="s">
        <v>40</v>
      </c>
    </row>
    <row r="68" spans="5:8" x14ac:dyDescent="0.3">
      <c r="F68" s="8">
        <f>F67*0.25</f>
        <v>671.52976989746094</v>
      </c>
      <c r="G68" s="1" t="s">
        <v>42</v>
      </c>
    </row>
    <row r="69" spans="5:8" x14ac:dyDescent="0.3">
      <c r="E69" s="10" t="s">
        <v>44</v>
      </c>
      <c r="F69" s="8">
        <f>(F67+F68)*1.1</f>
        <v>3693.4137344360356</v>
      </c>
      <c r="G69" s="1" t="s">
        <v>46</v>
      </c>
      <c r="H69" s="9">
        <v>0.1</v>
      </c>
    </row>
    <row r="70" spans="5:8" x14ac:dyDescent="0.3">
      <c r="E70" s="10" t="s">
        <v>45</v>
      </c>
      <c r="F70" s="8">
        <f>F69*12</f>
        <v>44320.964813232429</v>
      </c>
      <c r="G70" s="1" t="s">
        <v>40</v>
      </c>
    </row>
    <row r="71" spans="5:8" x14ac:dyDescent="0.3">
      <c r="E71" s="11" t="s">
        <v>69</v>
      </c>
      <c r="F71" s="8">
        <f>F70/1024</f>
        <v>43.282192200422294</v>
      </c>
      <c r="G71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Supuestos</vt:lpstr>
      <vt:lpstr>Correos</vt:lpstr>
      <vt:lpstr>S3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Leonardo Orellana Espiritu</dc:creator>
  <cp:lastModifiedBy>ALUMNO - LEONARDO MATIAS CONDORI NAVARRO</cp:lastModifiedBy>
  <dcterms:created xsi:type="dcterms:W3CDTF">2024-09-06T17:58:10Z</dcterms:created>
  <dcterms:modified xsi:type="dcterms:W3CDTF">2026-07-18T02:26:59Z</dcterms:modified>
</cp:coreProperties>
</file>